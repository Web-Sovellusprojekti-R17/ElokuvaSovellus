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ulu-my.sharepoint.com/personal/t2lasa03_students_oamk_fi/Documents/"/>
    </mc:Choice>
  </mc:AlternateContent>
  <xr:revisionPtr revIDLastSave="0" documentId="8_{E0A1BE74-84AC-4528-909D-EF9F0CF382B0}" xr6:coauthVersionLast="47" xr6:coauthVersionMax="47" xr10:uidLastSave="{00000000-0000-0000-0000-000000000000}"/>
  <bookViews>
    <workbookView xWindow="-98" yWindow="-98" windowWidth="28996" windowHeight="15675" firstSheet="5" activeTab="1" xr2:uid="{B7036960-D674-4B76-B564-D076AACD5E6B}"/>
  </bookViews>
  <sheets>
    <sheet name="Jere Koivuranta" sheetId="1" r:id="rId1"/>
    <sheet name="Joni Lievonen" sheetId="2" r:id="rId2"/>
    <sheet name="Miko Kekkonen" sheetId="3" r:id="rId3"/>
    <sheet name="Aleksi Vainikka" sheetId="4" r:id="rId4"/>
    <sheet name="Sami Laihiainen" sheetId="5" r:id="rId5"/>
    <sheet name="Projektipalaveri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5" l="1"/>
</calcChain>
</file>

<file path=xl/sharedStrings.xml><?xml version="1.0" encoding="utf-8"?>
<sst xmlns="http://schemas.openxmlformats.org/spreadsheetml/2006/main" count="196" uniqueCount="116">
  <si>
    <t>Ryhmä:</t>
  </si>
  <si>
    <t>Pvm</t>
  </si>
  <si>
    <t>Tehtävä</t>
  </si>
  <si>
    <t>Jere Koivuranta</t>
  </si>
  <si>
    <t>11.11.2025</t>
  </si>
  <si>
    <t>Elokuvien hakeminen tmdb:stä ja haku sivun luominen</t>
  </si>
  <si>
    <t>12.11.2025</t>
  </si>
  <si>
    <t>Haku-sivun parantaminen</t>
  </si>
  <si>
    <t>14.11.2025</t>
  </si>
  <si>
    <t>Haku-sivun korjaaminen</t>
  </si>
  <si>
    <t>15.11.2025</t>
  </si>
  <si>
    <t>Crud-operaariot reviews taululle</t>
  </si>
  <si>
    <t>18.11.2025</t>
  </si>
  <si>
    <t>Browser-router</t>
  </si>
  <si>
    <t>19.11.2025</t>
  </si>
  <si>
    <t>Sivuilla liikkuminen yms</t>
  </si>
  <si>
    <t>21.11.2025</t>
  </si>
  <si>
    <t>Arvostelu- ja ryhmäsivun pohjat</t>
  </si>
  <si>
    <t>26.11.2025</t>
  </si>
  <si>
    <t>Ryhmäsivu</t>
  </si>
  <si>
    <t>28.11.2025</t>
  </si>
  <si>
    <t>29.11.2025</t>
  </si>
  <si>
    <t>2.12.2025</t>
  </si>
  <si>
    <t>3.12.2025</t>
  </si>
  <si>
    <t>Ryhmäsivu(Ryhmän poistaminen)</t>
  </si>
  <si>
    <t>5.12.2025</t>
  </si>
  <si>
    <t>6.12.2025</t>
  </si>
  <si>
    <t>Ryhmäsivu(Jäsenen lisäys/poisto)</t>
  </si>
  <si>
    <t>10.12.2025</t>
  </si>
  <si>
    <t>Vikojen korjausta</t>
  </si>
  <si>
    <t>Yhteensä</t>
  </si>
  <si>
    <t>Joni Lievonen</t>
  </si>
  <si>
    <t>Elokuvakorttien ulkonäön suunnittelu ja koodaaminen ohjelmaan käytettäväksi</t>
  </si>
  <si>
    <t>Members-taulun CRUD-operaatiot ja sisällyttäminen koodiin</t>
  </si>
  <si>
    <t>17.11.2025</t>
  </si>
  <si>
    <t>Popup-ikkunan suunnittelua ja toteuttamista sisäänkirjautumista varten</t>
  </si>
  <si>
    <t>20.11.2025</t>
  </si>
  <si>
    <t>Popup-ikkunan siistimistä ja Dockerin ongelmien vianmääritystä</t>
  </si>
  <si>
    <t>23.11.2025</t>
  </si>
  <si>
    <t xml:space="preserve">Sisäänkirjautumisikkunan ulkoasun parantelua ja koodin muokkaamista </t>
  </si>
  <si>
    <t>27.11.2025</t>
  </si>
  <si>
    <t>Koodin korjaamista ja lopullisen ulkoasun ideointia</t>
  </si>
  <si>
    <t>30.11.2025</t>
  </si>
  <si>
    <t xml:space="preserve">Ulkoasun muokkaamista </t>
  </si>
  <si>
    <t>Ulkoasun muokkaamista ja responsiivisuuden parantelua</t>
  </si>
  <si>
    <t>Ulkoasun muokkaamista ja navbarin pähkäilyä</t>
  </si>
  <si>
    <t>7.12.2025</t>
  </si>
  <si>
    <t>Lisää ulkoasun muokkaamista</t>
  </si>
  <si>
    <t>Ryhmäsivun ulkonäön ja koodin muokkausta ja vianmääritystä</t>
  </si>
  <si>
    <t>13.12.2025</t>
  </si>
  <si>
    <t>Sivun kääntäminen englanniksi ja korjailuja</t>
  </si>
  <si>
    <t>14.12.2025</t>
  </si>
  <si>
    <t>Responsiivisuuden korjailua</t>
  </si>
  <si>
    <t>15.12.2025</t>
  </si>
  <si>
    <t>Viimeiset korjausyritykset</t>
  </si>
  <si>
    <t>Yhteensä:</t>
  </si>
  <si>
    <t>31,5</t>
  </si>
  <si>
    <t>Miko Kekkonen</t>
  </si>
  <si>
    <t>Etusivun alustaminen</t>
  </si>
  <si>
    <t>Nyt elokuvateattereissa kohdan tekeminen</t>
  </si>
  <si>
    <t>crud operaatiot groupille</t>
  </si>
  <si>
    <t>16.11.2025</t>
  </si>
  <si>
    <t>Css juttuja</t>
  </si>
  <si>
    <t>settings sivun tekemistä seka tilin poiston aloitusta</t>
  </si>
  <si>
    <t>tilin poiston tekemistä sekä settings sivun uusimista</t>
  </si>
  <si>
    <t>22.11.2025</t>
  </si>
  <si>
    <t>tilin poisto ja footer tehty</t>
  </si>
  <si>
    <t>25.11.2025</t>
  </si>
  <si>
    <t>arvostelujen tekeminen ja näyttäminen sivulla tehty</t>
  </si>
  <si>
    <t>arvostelu testiä työstetty</t>
  </si>
  <si>
    <t>ryhmä sivua työstetty ja muita korjailuja</t>
  </si>
  <si>
    <t>ryhmä sivun oikeus checkausta työstetty</t>
  </si>
  <si>
    <t>ryhmä sivun oikeus checkaus valmis</t>
  </si>
  <si>
    <t>11.12.2025</t>
  </si>
  <si>
    <t>filttereiden tekemistä</t>
  </si>
  <si>
    <t>vuosi filtterin tekemistä</t>
  </si>
  <si>
    <t>vuosi filtterin viimeistely ja muuta korjailua</t>
  </si>
  <si>
    <t>Etusivulle tehty lisää juttuja ja muuta korjailua</t>
  </si>
  <si>
    <t>Yht:35</t>
  </si>
  <si>
    <t>Aleksi Vainikka</t>
  </si>
  <si>
    <t>Navbar pohjan tekoa</t>
  </si>
  <si>
    <t>Movie sivun tekoa + navbar loppuun</t>
  </si>
  <si>
    <t>Message restapi +movie sivun jatkoa</t>
  </si>
  <si>
    <t>22.11.2025Movie sivu loppuun + pikkukorjauksia</t>
  </si>
  <si>
    <t>Css korjailua</t>
  </si>
  <si>
    <t>Suosikki sivun ja napin tekoa, suosikit restapi</t>
  </si>
  <si>
    <t>Sosikki sivun tekoa/korjailua</t>
  </si>
  <si>
    <t>Suosikit ja ryhmat etusivulle</t>
  </si>
  <si>
    <t>Elokuvan jakaminen(alkuun)</t>
  </si>
  <si>
    <t>Elokuvan jakaminen/korjailua</t>
  </si>
  <si>
    <t>Sami Laihiainen</t>
  </si>
  <si>
    <t>Database- ja user REST API aloitus</t>
  </si>
  <si>
    <t>User REST API parannuksia</t>
  </si>
  <si>
    <t>Login autentikointi rest apiin</t>
  </si>
  <si>
    <t>Login/Register frontendiin</t>
  </si>
  <si>
    <t>UI piilottamista kirjautumattomille</t>
  </si>
  <si>
    <t>käyttäjänimen/salasanan vaihto</t>
  </si>
  <si>
    <t>Sivun CSS värien muokkausta</t>
  </si>
  <si>
    <t>03.12.2025</t>
  </si>
  <si>
    <t>User testit</t>
  </si>
  <si>
    <t>04.12.2025</t>
  </si>
  <si>
    <t>Arvosteluiden parantelua front/back</t>
  </si>
  <si>
    <t>Suosikkien korjailua + niiden jakaminen</t>
  </si>
  <si>
    <t>Front/Backend korjailuja</t>
  </si>
  <si>
    <t>16.12.2025</t>
  </si>
  <si>
    <t>Render auth fix? + Rest dokumentaatio</t>
  </si>
  <si>
    <t>tuntimäärä</t>
  </si>
  <si>
    <t>10.11.2025</t>
  </si>
  <si>
    <t>Projektisuunnittelua</t>
  </si>
  <si>
    <t>13.11.2025</t>
  </si>
  <si>
    <t>24.11.2025</t>
  </si>
  <si>
    <t>1.12.2025</t>
  </si>
  <si>
    <t>4.12.2025</t>
  </si>
  <si>
    <t>8.12.2025</t>
  </si>
  <si>
    <t>17.12.2025</t>
  </si>
  <si>
    <t>yhteensä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</si>
</sst>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0"/>
      <color rgb="FF000000"/>
      <name val="Calibri"/>
      <charset val="1"/>
    </font>
    <font>
      <sz val="10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19"/>
  <sheetViews>
    <sheetView workbookViewId="0">
      <selection activeCell="D19" sqref="D19"/>
    </sheetView>
  </sheetViews>
  <sheetFormatPr defaultRowHeight="14.25"/>
  <cols>
    <col min="1" max="1" width="11" customWidth="1"/>
    <col min="2" max="2" width="31.42578125" customWidth="1"/>
    <col min="3" max="6" width="13.28515625" customWidth="1"/>
  </cols>
  <sheetData>
    <row r="1" spans="1:3">
      <c r="A1" t="s">
        <v>0</v>
      </c>
      <c r="B1">
        <v>17</v>
      </c>
    </row>
    <row r="2" spans="1:3" ht="30.75">
      <c r="A2" t="s">
        <v>1</v>
      </c>
      <c r="B2" t="s">
        <v>2</v>
      </c>
      <c r="C2" s="6" t="s">
        <v>3</v>
      </c>
    </row>
    <row r="3" spans="1:3" ht="30.75">
      <c r="A3" s="5" t="s">
        <v>4</v>
      </c>
      <c r="B3" s="6" t="s">
        <v>5</v>
      </c>
      <c r="C3">
        <v>3</v>
      </c>
    </row>
    <row r="4" spans="1:3">
      <c r="A4" s="1" t="s">
        <v>6</v>
      </c>
      <c r="B4" t="s">
        <v>7</v>
      </c>
      <c r="C4">
        <v>2</v>
      </c>
    </row>
    <row r="5" spans="1:3">
      <c r="A5" s="1" t="s">
        <v>8</v>
      </c>
      <c r="B5" t="s">
        <v>9</v>
      </c>
      <c r="C5">
        <v>2</v>
      </c>
    </row>
    <row r="6" spans="1:3">
      <c r="A6" t="s">
        <v>10</v>
      </c>
      <c r="B6" t="s">
        <v>11</v>
      </c>
      <c r="C6">
        <v>1.5</v>
      </c>
    </row>
    <row r="7" spans="1:3">
      <c r="A7" t="s">
        <v>12</v>
      </c>
      <c r="B7" t="s">
        <v>13</v>
      </c>
      <c r="C7">
        <v>2</v>
      </c>
    </row>
    <row r="8" spans="1:3">
      <c r="A8" t="s">
        <v>14</v>
      </c>
      <c r="B8" t="s">
        <v>15</v>
      </c>
      <c r="C8">
        <v>2</v>
      </c>
    </row>
    <row r="9" spans="1:3">
      <c r="A9" t="s">
        <v>16</v>
      </c>
      <c r="B9" t="s">
        <v>17</v>
      </c>
      <c r="C9">
        <v>1</v>
      </c>
    </row>
    <row r="10" spans="1:3">
      <c r="A10" t="s">
        <v>18</v>
      </c>
      <c r="B10" t="s">
        <v>19</v>
      </c>
      <c r="C10">
        <v>2.5</v>
      </c>
    </row>
    <row r="11" spans="1:3">
      <c r="A11" t="s">
        <v>20</v>
      </c>
      <c r="B11" t="s">
        <v>19</v>
      </c>
      <c r="C11">
        <v>2</v>
      </c>
    </row>
    <row r="12" spans="1:3">
      <c r="A12" t="s">
        <v>21</v>
      </c>
      <c r="B12" t="s">
        <v>19</v>
      </c>
      <c r="C12">
        <v>1</v>
      </c>
    </row>
    <row r="13" spans="1:3">
      <c r="A13" t="s">
        <v>22</v>
      </c>
      <c r="B13" t="s">
        <v>19</v>
      </c>
      <c r="C13">
        <v>1</v>
      </c>
    </row>
    <row r="14" spans="1:3">
      <c r="A14" t="s">
        <v>23</v>
      </c>
      <c r="B14" t="s">
        <v>24</v>
      </c>
      <c r="C14">
        <v>1.5</v>
      </c>
    </row>
    <row r="15" spans="1:3">
      <c r="A15" t="s">
        <v>25</v>
      </c>
      <c r="B15" t="s">
        <v>19</v>
      </c>
      <c r="C15">
        <v>1.5</v>
      </c>
    </row>
    <row r="16" spans="1:3">
      <c r="A16" t="s">
        <v>26</v>
      </c>
      <c r="B16" t="s">
        <v>27</v>
      </c>
      <c r="C16">
        <v>1</v>
      </c>
    </row>
    <row r="17" spans="1:3">
      <c r="A17" t="s">
        <v>28</v>
      </c>
      <c r="B17" t="s">
        <v>29</v>
      </c>
      <c r="C17">
        <v>1.5</v>
      </c>
    </row>
    <row r="19" spans="1:3">
      <c r="B19" t="s">
        <v>30</v>
      </c>
      <c r="C19">
        <v>25.5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3CA-2A17-42EC-86E5-CF5FE2A8D439}">
  <dimension ref="A1:C18"/>
  <sheetViews>
    <sheetView tabSelected="1" workbookViewId="0">
      <selection activeCell="C19" sqref="C19"/>
    </sheetView>
  </sheetViews>
  <sheetFormatPr defaultRowHeight="14.25"/>
  <cols>
    <col min="1" max="1" width="12.140625" customWidth="1"/>
    <col min="2" max="2" width="67.42578125" customWidth="1"/>
    <col min="3" max="3" width="14.5703125" customWidth="1"/>
  </cols>
  <sheetData>
    <row r="1" spans="1:3">
      <c r="A1" t="s">
        <v>0</v>
      </c>
      <c r="B1">
        <v>9</v>
      </c>
    </row>
    <row r="2" spans="1:3">
      <c r="A2" t="s">
        <v>1</v>
      </c>
      <c r="B2" t="s">
        <v>2</v>
      </c>
      <c r="C2" t="s">
        <v>31</v>
      </c>
    </row>
    <row r="3" spans="1:3">
      <c r="A3" s="1" t="s">
        <v>6</v>
      </c>
      <c r="B3" t="s">
        <v>32</v>
      </c>
      <c r="C3">
        <v>3.5</v>
      </c>
    </row>
    <row r="4" spans="1:3">
      <c r="A4" s="1" t="s">
        <v>8</v>
      </c>
      <c r="B4" t="s">
        <v>33</v>
      </c>
      <c r="C4">
        <v>1.5</v>
      </c>
    </row>
    <row r="5" spans="1:3">
      <c r="A5" s="1" t="s">
        <v>34</v>
      </c>
      <c r="B5" t="s">
        <v>35</v>
      </c>
      <c r="C5">
        <v>2</v>
      </c>
    </row>
    <row r="6" spans="1:3">
      <c r="A6" s="1" t="s">
        <v>36</v>
      </c>
      <c r="B6" t="s">
        <v>37</v>
      </c>
      <c r="C6">
        <v>2</v>
      </c>
    </row>
    <row r="7" spans="1:3">
      <c r="A7" s="1" t="s">
        <v>38</v>
      </c>
      <c r="B7" t="s">
        <v>39</v>
      </c>
      <c r="C7">
        <v>3</v>
      </c>
    </row>
    <row r="8" spans="1:3">
      <c r="A8" t="s">
        <v>40</v>
      </c>
      <c r="B8" t="s">
        <v>41</v>
      </c>
      <c r="C8">
        <v>2.5</v>
      </c>
    </row>
    <row r="9" spans="1:3">
      <c r="A9" t="s">
        <v>42</v>
      </c>
      <c r="B9" t="s">
        <v>43</v>
      </c>
      <c r="C9">
        <v>2</v>
      </c>
    </row>
    <row r="10" spans="1:3">
      <c r="A10" t="s">
        <v>23</v>
      </c>
      <c r="B10" t="s">
        <v>44</v>
      </c>
      <c r="C10">
        <v>2</v>
      </c>
    </row>
    <row r="11" spans="1:3">
      <c r="A11" t="s">
        <v>25</v>
      </c>
      <c r="B11" t="s">
        <v>45</v>
      </c>
      <c r="C11">
        <v>3</v>
      </c>
    </row>
    <row r="12" spans="1:3">
      <c r="A12" t="s">
        <v>46</v>
      </c>
      <c r="B12" t="s">
        <v>47</v>
      </c>
      <c r="C12">
        <v>2</v>
      </c>
    </row>
    <row r="13" spans="1:3">
      <c r="A13" t="s">
        <v>28</v>
      </c>
      <c r="B13" t="s">
        <v>48</v>
      </c>
      <c r="C13">
        <v>3</v>
      </c>
    </row>
    <row r="14" spans="1:3">
      <c r="A14" t="s">
        <v>49</v>
      </c>
      <c r="B14" t="s">
        <v>50</v>
      </c>
      <c r="C14">
        <v>2</v>
      </c>
    </row>
    <row r="15" spans="1:3">
      <c r="A15" t="s">
        <v>51</v>
      </c>
      <c r="B15" t="s">
        <v>52</v>
      </c>
      <c r="C15">
        <v>1</v>
      </c>
    </row>
    <row r="16" spans="1:3">
      <c r="A16" t="s">
        <v>53</v>
      </c>
      <c r="B16" t="s">
        <v>54</v>
      </c>
      <c r="C16">
        <v>2</v>
      </c>
    </row>
    <row r="18" spans="2:3">
      <c r="B18" t="s">
        <v>55</v>
      </c>
      <c r="C18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19"/>
  <sheetViews>
    <sheetView workbookViewId="0">
      <selection activeCell="B15" sqref="B15"/>
    </sheetView>
  </sheetViews>
  <sheetFormatPr defaultRowHeight="14.25"/>
  <cols>
    <col min="1" max="1" width="10.85546875" customWidth="1"/>
    <col min="2" max="2" width="44.85546875" customWidth="1"/>
    <col min="3" max="3" width="17.140625" customWidth="1"/>
  </cols>
  <sheetData>
    <row r="1" spans="1:3">
      <c r="A1" t="s">
        <v>0</v>
      </c>
      <c r="B1">
        <v>17</v>
      </c>
    </row>
    <row r="2" spans="1:3">
      <c r="A2" t="s">
        <v>1</v>
      </c>
      <c r="B2" t="s">
        <v>2</v>
      </c>
      <c r="C2" t="s">
        <v>57</v>
      </c>
    </row>
    <row r="3" spans="1:3" ht="15">
      <c r="A3" s="3" t="s">
        <v>4</v>
      </c>
      <c r="B3" s="3" t="s">
        <v>58</v>
      </c>
      <c r="C3" s="3">
        <v>2</v>
      </c>
    </row>
    <row r="4" spans="1:3" ht="15">
      <c r="A4" s="3" t="s">
        <v>6</v>
      </c>
      <c r="B4" s="3" t="s">
        <v>59</v>
      </c>
      <c r="C4" s="4">
        <v>3</v>
      </c>
    </row>
    <row r="5" spans="1:3">
      <c r="A5" s="1" t="s">
        <v>10</v>
      </c>
      <c r="B5" t="s">
        <v>60</v>
      </c>
      <c r="C5">
        <v>1.5</v>
      </c>
    </row>
    <row r="6" spans="1:3">
      <c r="A6" s="1" t="s">
        <v>61</v>
      </c>
      <c r="B6" t="s">
        <v>62</v>
      </c>
      <c r="C6">
        <v>1.5</v>
      </c>
    </row>
    <row r="7" spans="1:3">
      <c r="A7" t="s">
        <v>12</v>
      </c>
      <c r="B7" t="s">
        <v>63</v>
      </c>
      <c r="C7">
        <v>3</v>
      </c>
    </row>
    <row r="8" spans="1:3">
      <c r="A8" t="s">
        <v>14</v>
      </c>
      <c r="B8" t="s">
        <v>64</v>
      </c>
      <c r="C8">
        <v>3</v>
      </c>
    </row>
    <row r="9" spans="1:3">
      <c r="A9" t="s">
        <v>65</v>
      </c>
      <c r="B9" t="s">
        <v>66</v>
      </c>
      <c r="C9">
        <v>2</v>
      </c>
    </row>
    <row r="10" spans="1:3">
      <c r="A10" t="s">
        <v>67</v>
      </c>
      <c r="B10" t="s">
        <v>68</v>
      </c>
      <c r="C10">
        <v>3</v>
      </c>
    </row>
    <row r="11" spans="1:3">
      <c r="A11" t="s">
        <v>22</v>
      </c>
      <c r="B11" t="s">
        <v>69</v>
      </c>
      <c r="C11">
        <v>2</v>
      </c>
    </row>
    <row r="12" spans="1:3">
      <c r="A12" t="s">
        <v>23</v>
      </c>
      <c r="B12" t="s">
        <v>70</v>
      </c>
      <c r="C12">
        <v>4</v>
      </c>
    </row>
    <row r="13" spans="1:3">
      <c r="A13" t="s">
        <v>26</v>
      </c>
      <c r="B13" t="s">
        <v>71</v>
      </c>
      <c r="C13">
        <v>3</v>
      </c>
    </row>
    <row r="14" spans="1:3">
      <c r="A14" t="s">
        <v>46</v>
      </c>
      <c r="B14" t="s">
        <v>72</v>
      </c>
      <c r="C14">
        <v>2</v>
      </c>
    </row>
    <row r="15" spans="1:3">
      <c r="A15" t="s">
        <v>73</v>
      </c>
      <c r="B15" t="s">
        <v>74</v>
      </c>
      <c r="C15">
        <v>2.5</v>
      </c>
    </row>
    <row r="16" spans="1:3">
      <c r="A16" t="s">
        <v>49</v>
      </c>
      <c r="B16" t="s">
        <v>75</v>
      </c>
      <c r="C16">
        <v>1</v>
      </c>
    </row>
    <row r="17" spans="1:3">
      <c r="A17" t="s">
        <v>51</v>
      </c>
      <c r="B17" t="s">
        <v>76</v>
      </c>
      <c r="C17">
        <v>2</v>
      </c>
    </row>
    <row r="18" spans="1:3">
      <c r="A18" t="s">
        <v>53</v>
      </c>
      <c r="B18" t="s">
        <v>77</v>
      </c>
      <c r="C18">
        <v>2.5</v>
      </c>
    </row>
    <row r="19" spans="1:3">
      <c r="C19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14"/>
  <sheetViews>
    <sheetView workbookViewId="0">
      <selection activeCell="B15" sqref="B15"/>
    </sheetView>
  </sheetViews>
  <sheetFormatPr defaultRowHeight="14.25"/>
  <cols>
    <col min="1" max="1" width="9.85546875" customWidth="1"/>
    <col min="2" max="2" width="41.140625" customWidth="1"/>
    <col min="3" max="3" width="13" customWidth="1"/>
  </cols>
  <sheetData>
    <row r="1" spans="1:3">
      <c r="A1" t="s">
        <v>0</v>
      </c>
      <c r="B1">
        <v>9</v>
      </c>
    </row>
    <row r="2" spans="1:3">
      <c r="A2" t="s">
        <v>1</v>
      </c>
      <c r="B2" t="s">
        <v>2</v>
      </c>
      <c r="C2" t="s">
        <v>79</v>
      </c>
    </row>
    <row r="3" spans="1:3">
      <c r="A3" s="1" t="s">
        <v>10</v>
      </c>
      <c r="B3" t="s">
        <v>80</v>
      </c>
      <c r="C3">
        <v>2</v>
      </c>
    </row>
    <row r="4" spans="1:3">
      <c r="A4" s="1" t="s">
        <v>61</v>
      </c>
      <c r="B4" t="s">
        <v>81</v>
      </c>
      <c r="C4">
        <v>4</v>
      </c>
    </row>
    <row r="5" spans="1:3">
      <c r="A5" t="s">
        <v>14</v>
      </c>
      <c r="B5" t="s">
        <v>82</v>
      </c>
      <c r="C5">
        <v>2</v>
      </c>
    </row>
    <row r="6" spans="1:3">
      <c r="A6" t="s">
        <v>83</v>
      </c>
      <c r="C6">
        <v>2</v>
      </c>
    </row>
    <row r="7" spans="1:3">
      <c r="A7" t="s">
        <v>67</v>
      </c>
      <c r="B7" t="s">
        <v>84</v>
      </c>
      <c r="C7">
        <v>1.5</v>
      </c>
    </row>
    <row r="8" spans="1:3">
      <c r="A8" t="s">
        <v>20</v>
      </c>
      <c r="B8" t="s">
        <v>85</v>
      </c>
      <c r="C8">
        <v>2.5</v>
      </c>
    </row>
    <row r="9" spans="1:3">
      <c r="A9" t="s">
        <v>22</v>
      </c>
      <c r="B9" t="s">
        <v>86</v>
      </c>
      <c r="C9">
        <v>2</v>
      </c>
    </row>
    <row r="10" spans="1:3">
      <c r="A10" t="s">
        <v>26</v>
      </c>
      <c r="B10" t="s">
        <v>87</v>
      </c>
      <c r="C10">
        <v>1.5</v>
      </c>
    </row>
    <row r="11" spans="1:3">
      <c r="A11" t="s">
        <v>46</v>
      </c>
      <c r="B11" t="s">
        <v>88</v>
      </c>
      <c r="C11">
        <v>2</v>
      </c>
    </row>
    <row r="12" spans="1:3">
      <c r="A12" t="s">
        <v>73</v>
      </c>
      <c r="B12" t="s">
        <v>89</v>
      </c>
      <c r="C12">
        <v>2</v>
      </c>
    </row>
    <row r="14" spans="1:3">
      <c r="B14" t="s">
        <v>55</v>
      </c>
      <c r="C14">
        <v>21.5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3D26-C017-4771-842D-8B6BB0C7EE48}">
  <dimension ref="A1:D15"/>
  <sheetViews>
    <sheetView workbookViewId="0">
      <selection activeCell="D16" sqref="D16"/>
    </sheetView>
  </sheetViews>
  <sheetFormatPr defaultRowHeight="15"/>
  <cols>
    <col min="1" max="1" width="11.42578125" bestFit="1" customWidth="1"/>
    <col min="2" max="2" width="36.28515625" bestFit="1" customWidth="1"/>
    <col min="3" max="3" width="14.42578125" bestFit="1" customWidth="1"/>
  </cols>
  <sheetData>
    <row r="1" spans="1:4">
      <c r="A1" s="2" t="s">
        <v>0</v>
      </c>
      <c r="B1" s="2">
        <v>17</v>
      </c>
      <c r="C1" s="2"/>
    </row>
    <row r="2" spans="1:4">
      <c r="A2" s="2" t="s">
        <v>1</v>
      </c>
      <c r="B2" s="2" t="s">
        <v>2</v>
      </c>
      <c r="C2" s="2" t="s">
        <v>90</v>
      </c>
    </row>
    <row r="3" spans="1:4">
      <c r="A3" s="2" t="s">
        <v>4</v>
      </c>
      <c r="B3" s="2" t="s">
        <v>91</v>
      </c>
      <c r="C3" s="7">
        <v>3</v>
      </c>
    </row>
    <row r="4" spans="1:4">
      <c r="A4" s="2" t="s">
        <v>8</v>
      </c>
      <c r="B4" s="2" t="s">
        <v>92</v>
      </c>
      <c r="C4" s="7">
        <v>1.5</v>
      </c>
    </row>
    <row r="5" spans="1:4">
      <c r="A5" t="s">
        <v>12</v>
      </c>
      <c r="B5" t="s">
        <v>93</v>
      </c>
      <c r="C5" s="8">
        <v>1.5</v>
      </c>
    </row>
    <row r="6" spans="1:4">
      <c r="A6" s="1" t="s">
        <v>65</v>
      </c>
      <c r="B6" t="s">
        <v>94</v>
      </c>
      <c r="C6" s="8">
        <v>3.5</v>
      </c>
    </row>
    <row r="7" spans="1:4">
      <c r="A7" t="s">
        <v>67</v>
      </c>
      <c r="B7" t="s">
        <v>95</v>
      </c>
      <c r="C7" s="8">
        <v>1</v>
      </c>
    </row>
    <row r="8" spans="1:4">
      <c r="A8" t="s">
        <v>18</v>
      </c>
      <c r="B8" t="s">
        <v>96</v>
      </c>
      <c r="C8" s="8">
        <v>2.5</v>
      </c>
    </row>
    <row r="9" spans="1:4">
      <c r="A9" t="s">
        <v>21</v>
      </c>
      <c r="B9" t="s">
        <v>97</v>
      </c>
      <c r="C9" s="8">
        <v>0.5</v>
      </c>
    </row>
    <row r="10" spans="1:4">
      <c r="A10" t="s">
        <v>98</v>
      </c>
      <c r="B10" t="s">
        <v>99</v>
      </c>
      <c r="C10" s="8">
        <v>2.5</v>
      </c>
    </row>
    <row r="11" spans="1:4">
      <c r="A11" t="s">
        <v>100</v>
      </c>
      <c r="B11" t="s">
        <v>101</v>
      </c>
      <c r="C11" s="8">
        <v>1.5</v>
      </c>
    </row>
    <row r="12" spans="1:4">
      <c r="A12" t="s">
        <v>28</v>
      </c>
      <c r="B12" t="s">
        <v>102</v>
      </c>
      <c r="C12" s="8">
        <v>3</v>
      </c>
    </row>
    <row r="13" spans="1:4">
      <c r="A13" t="s">
        <v>49</v>
      </c>
      <c r="B13" t="s">
        <v>103</v>
      </c>
      <c r="C13" s="9">
        <v>1.5</v>
      </c>
    </row>
    <row r="14" spans="1:4">
      <c r="A14" t="s">
        <v>104</v>
      </c>
      <c r="B14" t="s">
        <v>105</v>
      </c>
      <c r="C14" s="9">
        <v>2</v>
      </c>
    </row>
    <row r="15" spans="1:4">
      <c r="C15" s="9">
        <f>SUM(C3:C14)</f>
        <v>24</v>
      </c>
      <c r="D15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DC1B-600C-461B-8616-DD835AC4A77C}">
  <dimension ref="A1:C20"/>
  <sheetViews>
    <sheetView workbookViewId="0">
      <selection activeCell="D17" sqref="D17"/>
    </sheetView>
  </sheetViews>
  <sheetFormatPr defaultRowHeight="15"/>
  <cols>
    <col min="1" max="1" width="11.28515625" customWidth="1"/>
    <col min="2" max="2" width="23.140625" customWidth="1"/>
    <col min="3" max="3" width="10.28515625" customWidth="1"/>
  </cols>
  <sheetData>
    <row r="1" spans="1:3">
      <c r="A1" t="s">
        <v>0</v>
      </c>
      <c r="B1">
        <v>17</v>
      </c>
    </row>
    <row r="2" spans="1:3">
      <c r="A2" t="s">
        <v>1</v>
      </c>
      <c r="B2" t="s">
        <v>2</v>
      </c>
      <c r="C2" t="s">
        <v>106</v>
      </c>
    </row>
    <row r="3" spans="1:3">
      <c r="A3" t="s">
        <v>107</v>
      </c>
      <c r="B3" t="s">
        <v>108</v>
      </c>
      <c r="C3">
        <v>1</v>
      </c>
    </row>
    <row r="4" spans="1:3">
      <c r="A4" t="s">
        <v>109</v>
      </c>
      <c r="B4" t="s">
        <v>108</v>
      </c>
      <c r="C4">
        <v>1.5</v>
      </c>
    </row>
    <row r="5" spans="1:3">
      <c r="A5" t="s">
        <v>34</v>
      </c>
      <c r="B5" t="s">
        <v>108</v>
      </c>
      <c r="C5">
        <v>1</v>
      </c>
    </row>
    <row r="6" spans="1:3">
      <c r="A6" t="s">
        <v>36</v>
      </c>
      <c r="B6" t="s">
        <v>108</v>
      </c>
      <c r="C6">
        <v>2</v>
      </c>
    </row>
    <row r="7" spans="1:3">
      <c r="A7" t="s">
        <v>38</v>
      </c>
      <c r="B7" t="s">
        <v>108</v>
      </c>
      <c r="C7">
        <v>1</v>
      </c>
    </row>
    <row r="8" spans="1:3">
      <c r="A8" t="s">
        <v>110</v>
      </c>
      <c r="B8" t="s">
        <v>108</v>
      </c>
      <c r="C8">
        <v>1.5</v>
      </c>
    </row>
    <row r="9" spans="1:3">
      <c r="A9" t="s">
        <v>40</v>
      </c>
      <c r="B9" t="s">
        <v>108</v>
      </c>
      <c r="C9">
        <v>2</v>
      </c>
    </row>
    <row r="10" spans="1:3">
      <c r="A10" t="s">
        <v>42</v>
      </c>
      <c r="B10" t="s">
        <v>108</v>
      </c>
      <c r="C10">
        <v>1</v>
      </c>
    </row>
    <row r="11" spans="1:3">
      <c r="A11" t="s">
        <v>111</v>
      </c>
      <c r="B11" t="s">
        <v>108</v>
      </c>
      <c r="C11">
        <v>1</v>
      </c>
    </row>
    <row r="12" spans="1:3">
      <c r="A12" t="s">
        <v>112</v>
      </c>
      <c r="B12" t="s">
        <v>108</v>
      </c>
      <c r="C12">
        <v>2</v>
      </c>
    </row>
    <row r="13" spans="1:3">
      <c r="A13" t="s">
        <v>46</v>
      </c>
      <c r="B13" t="s">
        <v>108</v>
      </c>
      <c r="C13">
        <v>0.5</v>
      </c>
    </row>
    <row r="14" spans="1:3">
      <c r="A14" t="s">
        <v>113</v>
      </c>
      <c r="B14" t="s">
        <v>108</v>
      </c>
      <c r="C14">
        <v>1.5</v>
      </c>
    </row>
    <row r="15" spans="1:3">
      <c r="A15" t="s">
        <v>73</v>
      </c>
      <c r="B15" t="s">
        <v>108</v>
      </c>
      <c r="C15">
        <v>2</v>
      </c>
    </row>
    <row r="16" spans="1:3">
      <c r="A16" t="s">
        <v>51</v>
      </c>
      <c r="B16" t="s">
        <v>108</v>
      </c>
      <c r="C16">
        <v>1</v>
      </c>
    </row>
    <row r="17" spans="1:3">
      <c r="A17" t="s">
        <v>53</v>
      </c>
      <c r="B17" t="s">
        <v>108</v>
      </c>
      <c r="C17">
        <v>1.5</v>
      </c>
    </row>
    <row r="18" spans="1:3">
      <c r="A18" t="s">
        <v>114</v>
      </c>
      <c r="B18" t="s">
        <v>108</v>
      </c>
      <c r="C18">
        <v>1.5</v>
      </c>
    </row>
    <row r="20" spans="1:3">
      <c r="B20" t="s">
        <v>115</v>
      </c>
      <c r="C20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19BD2DEA29674E957A28C786A1ACC5" ma:contentTypeVersion="9" ma:contentTypeDescription="Create a new document." ma:contentTypeScope="" ma:versionID="e2c1413d654e3e5f37184581eefd9359">
  <xsd:schema xmlns:xsd="http://www.w3.org/2001/XMLSchema" xmlns:xs="http://www.w3.org/2001/XMLSchema" xmlns:p="http://schemas.microsoft.com/office/2006/metadata/properties" xmlns:ns3="9d20d55c-6f64-40ca-bc7d-19eea9cc7213" targetNamespace="http://schemas.microsoft.com/office/2006/metadata/properties" ma:root="true" ma:fieldsID="f0e5b909cc4d61d682ddfa6c5f37ab22" ns3:_="">
    <xsd:import namespace="9d20d55c-6f64-40ca-bc7d-19eea9cc7213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Vers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0d55c-6f64-40ca-bc7d-19eea9cc7213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20d55c-6f64-40ca-bc7d-19eea9cc7213" xsi:nil="true"/>
    <MigrationWizIdPermissions xmlns="9d20d55c-6f64-40ca-bc7d-19eea9cc7213" xsi:nil="true"/>
    <MigrationWizIdVersion xmlns="9d20d55c-6f64-40ca-bc7d-19eea9cc7213" xsi:nil="true"/>
    <MigrationWizId xmlns="9d20d55c-6f64-40ca-bc7d-19eea9cc7213" xsi:nil="true"/>
  </documentManagement>
</p:properties>
</file>

<file path=customXml/itemProps1.xml><?xml version="1.0" encoding="utf-8"?>
<ds:datastoreItem xmlns:ds="http://schemas.openxmlformats.org/officeDocument/2006/customXml" ds:itemID="{91AFA8E1-92E4-49D4-91D0-54813D36C3B7}"/>
</file>

<file path=customXml/itemProps2.xml><?xml version="1.0" encoding="utf-8"?>
<ds:datastoreItem xmlns:ds="http://schemas.openxmlformats.org/officeDocument/2006/customXml" ds:itemID="{CE126F72-1398-4BE6-9ED2-26D2B78A3C81}"/>
</file>

<file path=customXml/itemProps3.xml><?xml version="1.0" encoding="utf-8"?>
<ds:datastoreItem xmlns:ds="http://schemas.openxmlformats.org/officeDocument/2006/customXml" ds:itemID="{4B1FCA47-CC15-43A4-954F-992D6E7199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/>
  <cp:revision/>
  <dcterms:created xsi:type="dcterms:W3CDTF">2023-10-18T07:31:54Z</dcterms:created>
  <dcterms:modified xsi:type="dcterms:W3CDTF">2025-12-17T10:48:28Z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0x0101008D19BD2DEA29674E957A28C786A1ACC5</vt:lpwstr>
  </property>
</Properties>
</file>